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ersonal\Finanzas\Cryptocurrencies\Analysis\"/>
    </mc:Choice>
  </mc:AlternateContent>
  <bookViews>
    <workbookView xWindow="0" yWindow="0" windowWidth="28800" windowHeight="12300"/>
  </bookViews>
  <sheets>
    <sheet name="Buy up - Sell dow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C24" i="1"/>
  <c r="C23" i="1"/>
  <c r="M20" i="1"/>
  <c r="K20" i="1"/>
  <c r="I20" i="1"/>
  <c r="F20" i="1"/>
  <c r="D20" i="1"/>
  <c r="K15" i="1"/>
  <c r="M15" i="1" s="1"/>
  <c r="J15" i="1"/>
  <c r="J16" i="1"/>
  <c r="J17" i="1"/>
  <c r="J18" i="1"/>
  <c r="J19" i="1"/>
  <c r="I15" i="1"/>
  <c r="I16" i="1"/>
  <c r="K16" i="1" s="1"/>
  <c r="I17" i="1"/>
  <c r="K17" i="1" s="1"/>
  <c r="I18" i="1"/>
  <c r="K18" i="1" s="1"/>
  <c r="M18" i="1" s="1"/>
  <c r="I19" i="1"/>
  <c r="D15" i="1"/>
  <c r="K10" i="1"/>
  <c r="M10" i="1" s="1"/>
  <c r="K13" i="1"/>
  <c r="M13" i="1" s="1"/>
  <c r="J10" i="1"/>
  <c r="J11" i="1"/>
  <c r="J12" i="1"/>
  <c r="J13" i="1"/>
  <c r="J14" i="1"/>
  <c r="I10" i="1"/>
  <c r="I11" i="1"/>
  <c r="I12" i="1"/>
  <c r="K12" i="1" s="1"/>
  <c r="I13" i="1"/>
  <c r="I14" i="1"/>
  <c r="D10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H20" i="1" s="1"/>
  <c r="E6" i="1"/>
  <c r="D6" i="1"/>
  <c r="J6" i="1"/>
  <c r="L6" i="1" s="1"/>
  <c r="J7" i="1"/>
  <c r="L7" i="1" s="1"/>
  <c r="J8" i="1"/>
  <c r="J9" i="1"/>
  <c r="I6" i="1"/>
  <c r="I7" i="1"/>
  <c r="I8" i="1"/>
  <c r="K8" i="1" s="1"/>
  <c r="I9" i="1"/>
  <c r="K9" i="1" s="1"/>
  <c r="N5" i="1"/>
  <c r="M5" i="1"/>
  <c r="K5" i="1"/>
  <c r="J5" i="1"/>
  <c r="I5" i="1"/>
  <c r="E21" i="1" l="1"/>
  <c r="J20" i="1"/>
  <c r="L20" i="1" s="1"/>
  <c r="N20" i="1" s="1"/>
  <c r="D21" i="1" s="1"/>
  <c r="L19" i="1"/>
  <c r="N19" i="1" s="1"/>
  <c r="K19" i="1"/>
  <c r="M19" i="1" s="1"/>
  <c r="L18" i="1"/>
  <c r="N18" i="1" s="1"/>
  <c r="M17" i="1"/>
  <c r="L17" i="1"/>
  <c r="N17" i="1" s="1"/>
  <c r="N16" i="1"/>
  <c r="M16" i="1"/>
  <c r="L16" i="1"/>
  <c r="L15" i="1"/>
  <c r="N15" i="1" s="1"/>
  <c r="D16" i="1" s="1"/>
  <c r="K14" i="1"/>
  <c r="M14" i="1" s="1"/>
  <c r="L14" i="1"/>
  <c r="N14" i="1" s="1"/>
  <c r="L13" i="1"/>
  <c r="N13" i="1" s="1"/>
  <c r="L12" i="1"/>
  <c r="N12" i="1" s="1"/>
  <c r="M12" i="1"/>
  <c r="K11" i="1"/>
  <c r="M11" i="1" s="1"/>
  <c r="L11" i="1"/>
  <c r="N11" i="1" s="1"/>
  <c r="L10" i="1"/>
  <c r="N10" i="1" s="1"/>
  <c r="D11" i="1" s="1"/>
  <c r="L9" i="1"/>
  <c r="N9" i="1" s="1"/>
  <c r="M9" i="1"/>
  <c r="L8" i="1"/>
  <c r="N8" i="1" s="1"/>
  <c r="M8" i="1"/>
  <c r="K7" i="1"/>
  <c r="M7" i="1" s="1"/>
  <c r="N7" i="1"/>
  <c r="K6" i="1"/>
  <c r="M6" i="1" s="1"/>
  <c r="N6" i="1"/>
  <c r="L5" i="1"/>
  <c r="D17" i="1" l="1"/>
  <c r="D18" i="1" s="1"/>
  <c r="D19" i="1" s="1"/>
  <c r="D12" i="1"/>
  <c r="D13" i="1" s="1"/>
  <c r="D14" i="1" s="1"/>
  <c r="D7" i="1"/>
  <c r="D8" i="1" s="1"/>
  <c r="D9" i="1" s="1"/>
</calcChain>
</file>

<file path=xl/sharedStrings.xml><?xml version="1.0" encoding="utf-8"?>
<sst xmlns="http://schemas.openxmlformats.org/spreadsheetml/2006/main" count="19" uniqueCount="18">
  <si>
    <t>Day</t>
  </si>
  <si>
    <t>Current price</t>
  </si>
  <si>
    <t>Cash</t>
  </si>
  <si>
    <t>Owned ETH</t>
  </si>
  <si>
    <t>Buy amount</t>
  </si>
  <si>
    <t>Sell amount</t>
  </si>
  <si>
    <t>Buy fee</t>
  </si>
  <si>
    <t>Sell fee</t>
  </si>
  <si>
    <t>Buy subtotal</t>
  </si>
  <si>
    <t>Sell subtotal</t>
  </si>
  <si>
    <t>Buy total</t>
  </si>
  <si>
    <t>Sell total</t>
  </si>
  <si>
    <t>Daily allowance</t>
  </si>
  <si>
    <t>STOP</t>
  </si>
  <si>
    <t>TOTAL</t>
  </si>
  <si>
    <t>Initial</t>
  </si>
  <si>
    <t>Investment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</si>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</sst>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77" formatCode="0.0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1" applyNumberFormat="1" applyFont="1"/>
    <xf numFmtId="177" fontId="0" fillId="0" borderId="0" xfId="1" applyNumberFormat="1" applyFont="1"/>
    <xf numFmtId="0" fontId="0" fillId="0" borderId="0" xfId="0" applyAlignment="1">
      <alignment horizontal="right"/>
    </xf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5"/>
  <sheetViews>
    <sheetView tabSelected="1" workbookViewId="0">
      <selection activeCell="F5" sqref="F5"/>
    </sheetView>
  </sheetViews>
  <sheetFormatPr defaultRowHeight="14.4" x14ac:dyDescent="0.3"/>
  <cols>
    <col min="2" max="2" width="12.77734375" customWidth="1"/>
    <col min="3" max="3" width="13.88671875" style="1" bestFit="1" customWidth="1"/>
    <col min="4" max="4" width="12.77734375" style="1" customWidth="1"/>
    <col min="5" max="5" width="12.77734375" style="5" customWidth="1"/>
    <col min="6" max="6" width="12.77734375" style="1" customWidth="1"/>
    <col min="7" max="7" width="16.5546875" style="2" customWidth="1"/>
    <col min="8" max="8" width="20.33203125" style="3" customWidth="1"/>
    <col min="9" max="14" width="12.77734375" style="1" customWidth="1"/>
  </cols>
  <sheetData>
    <row r="2" spans="2:14" x14ac:dyDescent="0.3">
      <c r="B2" t="s">
        <v>15</v>
      </c>
      <c r="C2" s="1">
        <v>100</v>
      </c>
    </row>
    <row r="4" spans="2:14" x14ac:dyDescent="0.3">
      <c r="B4" t="s">
        <v>0</v>
      </c>
      <c r="C4" s="1" t="s">
        <v>12</v>
      </c>
      <c r="D4" s="1" t="s">
        <v>2</v>
      </c>
      <c r="E4" s="5" t="s">
        <v>3</v>
      </c>
      <c r="F4" s="1" t="s">
        <v>1</v>
      </c>
      <c r="G4" s="2" t="s">
        <v>4</v>
      </c>
      <c r="H4" s="3" t="s">
        <v>5</v>
      </c>
      <c r="I4" s="1" t="s">
        <v>8</v>
      </c>
      <c r="J4" s="1" t="s">
        <v>9</v>
      </c>
      <c r="K4" s="1" t="s">
        <v>6</v>
      </c>
      <c r="L4" s="1" t="s">
        <v>7</v>
      </c>
      <c r="M4" s="1" t="s">
        <v>10</v>
      </c>
      <c r="N4" s="1" t="s">
        <v>11</v>
      </c>
    </row>
    <row r="5" spans="2:14" x14ac:dyDescent="0.3">
      <c r="B5">
        <v>1</v>
      </c>
      <c r="D5" s="1">
        <v>0</v>
      </c>
      <c r="E5" s="5">
        <v>36.1010830325</v>
      </c>
      <c r="F5" s="1">
        <v>1.58</v>
      </c>
      <c r="H5" s="3">
        <v>36.1010830325</v>
      </c>
      <c r="I5" s="1">
        <f>F5*G5</f>
        <v>0</v>
      </c>
      <c r="J5" s="1">
        <f>F5*H5</f>
        <v>57.039711191350001</v>
      </c>
      <c r="K5" s="1">
        <f>I5*0.01</f>
        <v>0</v>
      </c>
      <c r="L5" s="1">
        <f>J5*0.01</f>
        <v>0.57039711191350007</v>
      </c>
      <c r="M5" s="1">
        <f>I5+K5</f>
        <v>0</v>
      </c>
      <c r="N5" s="1">
        <f>J5-L5</f>
        <v>56.469314079436501</v>
      </c>
    </row>
    <row r="6" spans="2:14" x14ac:dyDescent="0.3">
      <c r="B6">
        <v>2</v>
      </c>
      <c r="C6" s="1">
        <v>10</v>
      </c>
      <c r="D6" s="1">
        <f>D5-M5+N5+C6</f>
        <v>66.469314079436501</v>
      </c>
      <c r="E6" s="5">
        <f>E5+G5-H5</f>
        <v>0</v>
      </c>
      <c r="F6" s="1">
        <v>1.22</v>
      </c>
      <c r="H6" s="3">
        <v>0</v>
      </c>
      <c r="I6" s="1">
        <f t="shared" ref="I6:I20" si="0">F6*G6</f>
        <v>0</v>
      </c>
      <c r="J6" s="1">
        <f t="shared" ref="J6:J20" si="1">F6*H6</f>
        <v>0</v>
      </c>
      <c r="K6" s="1">
        <f t="shared" ref="K6:K20" si="2">I6*0.01</f>
        <v>0</v>
      </c>
      <c r="L6" s="1">
        <f t="shared" ref="L6:L20" si="3">J6*0.01</f>
        <v>0</v>
      </c>
      <c r="M6" s="1">
        <f t="shared" ref="M6:M20" si="4">I6+K6</f>
        <v>0</v>
      </c>
      <c r="N6" s="1">
        <f t="shared" ref="N6:N20" si="5">J6-L6</f>
        <v>0</v>
      </c>
    </row>
    <row r="7" spans="2:14" x14ac:dyDescent="0.3">
      <c r="B7">
        <v>3</v>
      </c>
      <c r="C7" s="1">
        <v>10</v>
      </c>
      <c r="D7" s="1">
        <f t="shared" ref="D7:D21" si="6">D6-M6+N6+C7</f>
        <v>76.469314079436501</v>
      </c>
      <c r="E7" s="5">
        <f t="shared" ref="E7:E21" si="7">E6+G6-H6</f>
        <v>0</v>
      </c>
      <c r="F7" s="1">
        <v>1.17</v>
      </c>
      <c r="G7" s="2">
        <v>64.704804221000003</v>
      </c>
      <c r="I7" s="1">
        <f t="shared" si="0"/>
        <v>75.704620938570002</v>
      </c>
      <c r="J7" s="1">
        <f t="shared" si="1"/>
        <v>0</v>
      </c>
      <c r="K7" s="1">
        <f t="shared" si="2"/>
        <v>0.7570462093857</v>
      </c>
      <c r="L7" s="1">
        <f t="shared" si="3"/>
        <v>0</v>
      </c>
      <c r="M7" s="1">
        <f t="shared" si="4"/>
        <v>76.461667147955708</v>
      </c>
      <c r="N7" s="1">
        <f t="shared" si="5"/>
        <v>0</v>
      </c>
    </row>
    <row r="8" spans="2:14" x14ac:dyDescent="0.3">
      <c r="B8">
        <v>4</v>
      </c>
      <c r="C8" s="1">
        <v>10</v>
      </c>
      <c r="D8" s="1">
        <f t="shared" si="6"/>
        <v>10.007646931480792</v>
      </c>
      <c r="E8" s="5">
        <f t="shared" si="7"/>
        <v>64.704804221000003</v>
      </c>
      <c r="F8" s="1">
        <v>1.25</v>
      </c>
      <c r="G8" s="2">
        <v>7.9260563696800004</v>
      </c>
      <c r="I8" s="1">
        <f t="shared" si="0"/>
        <v>9.9075704621000007</v>
      </c>
      <c r="J8" s="1">
        <f t="shared" si="1"/>
        <v>0</v>
      </c>
      <c r="K8" s="1">
        <f t="shared" si="2"/>
        <v>9.9075704621000016E-2</v>
      </c>
      <c r="L8" s="1">
        <f t="shared" si="3"/>
        <v>0</v>
      </c>
      <c r="M8" s="1">
        <f t="shared" si="4"/>
        <v>10.006646166721001</v>
      </c>
      <c r="N8" s="1">
        <f t="shared" si="5"/>
        <v>0</v>
      </c>
    </row>
    <row r="9" spans="2:14" x14ac:dyDescent="0.3">
      <c r="B9">
        <v>5</v>
      </c>
      <c r="C9" s="1">
        <v>10</v>
      </c>
      <c r="D9" s="1">
        <f t="shared" si="6"/>
        <v>10.001000764759791</v>
      </c>
      <c r="E9" s="5">
        <f t="shared" si="7"/>
        <v>72.630860590680001</v>
      </c>
      <c r="F9" s="1">
        <v>1.48</v>
      </c>
      <c r="H9" s="3">
        <v>72.630860590699996</v>
      </c>
      <c r="I9" s="1">
        <f t="shared" si="0"/>
        <v>0</v>
      </c>
      <c r="J9" s="1">
        <f t="shared" si="1"/>
        <v>107.49367367423599</v>
      </c>
      <c r="K9" s="1">
        <f t="shared" si="2"/>
        <v>0</v>
      </c>
      <c r="L9" s="1">
        <f t="shared" si="3"/>
        <v>1.0749367367423599</v>
      </c>
      <c r="M9" s="1">
        <f t="shared" si="4"/>
        <v>0</v>
      </c>
      <c r="N9" s="1">
        <f t="shared" si="5"/>
        <v>106.41873693749363</v>
      </c>
    </row>
    <row r="10" spans="2:14" x14ac:dyDescent="0.3">
      <c r="B10">
        <v>6</v>
      </c>
      <c r="C10" s="1">
        <v>10</v>
      </c>
      <c r="D10" s="1">
        <f t="shared" si="6"/>
        <v>126.41973770225343</v>
      </c>
      <c r="E10" s="5">
        <f t="shared" si="7"/>
        <v>-1.9994672584289219E-11</v>
      </c>
      <c r="F10" s="1">
        <v>1.4</v>
      </c>
      <c r="H10" s="3">
        <v>0</v>
      </c>
      <c r="I10" s="1">
        <f t="shared" si="0"/>
        <v>0</v>
      </c>
      <c r="J10" s="1">
        <f t="shared" si="1"/>
        <v>0</v>
      </c>
      <c r="K10" s="1">
        <f t="shared" si="2"/>
        <v>0</v>
      </c>
      <c r="L10" s="1">
        <f t="shared" si="3"/>
        <v>0</v>
      </c>
      <c r="M10" s="1">
        <f t="shared" si="4"/>
        <v>0</v>
      </c>
      <c r="N10" s="1">
        <f t="shared" si="5"/>
        <v>0</v>
      </c>
    </row>
    <row r="11" spans="2:14" x14ac:dyDescent="0.3">
      <c r="B11">
        <v>7</v>
      </c>
      <c r="C11" s="1">
        <v>10</v>
      </c>
      <c r="D11" s="1">
        <f t="shared" si="6"/>
        <v>136.41973770225343</v>
      </c>
      <c r="E11" s="5">
        <f t="shared" si="7"/>
        <v>-1.9994672584289219E-11</v>
      </c>
      <c r="F11" s="1">
        <v>1.38</v>
      </c>
      <c r="H11" s="3">
        <v>0</v>
      </c>
      <c r="I11" s="1">
        <f t="shared" si="0"/>
        <v>0</v>
      </c>
      <c r="J11" s="1">
        <f t="shared" si="1"/>
        <v>0</v>
      </c>
      <c r="K11" s="1">
        <f t="shared" si="2"/>
        <v>0</v>
      </c>
      <c r="L11" s="1">
        <f t="shared" si="3"/>
        <v>0</v>
      </c>
      <c r="M11" s="1">
        <f t="shared" si="4"/>
        <v>0</v>
      </c>
      <c r="N11" s="1">
        <f t="shared" si="5"/>
        <v>0</v>
      </c>
    </row>
    <row r="12" spans="2:14" x14ac:dyDescent="0.3">
      <c r="B12">
        <v>8</v>
      </c>
      <c r="C12" s="1">
        <v>10</v>
      </c>
      <c r="D12" s="1">
        <f t="shared" si="6"/>
        <v>146.41973770225343</v>
      </c>
      <c r="E12" s="5">
        <f t="shared" si="7"/>
        <v>-1.9994672584289219E-11</v>
      </c>
      <c r="F12" s="1">
        <v>1.35</v>
      </c>
      <c r="H12" s="3">
        <v>0</v>
      </c>
      <c r="I12" s="1">
        <f t="shared" si="0"/>
        <v>0</v>
      </c>
      <c r="J12" s="1">
        <f t="shared" si="1"/>
        <v>0</v>
      </c>
      <c r="K12" s="1">
        <f t="shared" si="2"/>
        <v>0</v>
      </c>
      <c r="L12" s="1">
        <f t="shared" si="3"/>
        <v>0</v>
      </c>
      <c r="M12" s="1">
        <f t="shared" si="4"/>
        <v>0</v>
      </c>
      <c r="N12" s="1">
        <f t="shared" si="5"/>
        <v>0</v>
      </c>
    </row>
    <row r="13" spans="2:14" x14ac:dyDescent="0.3">
      <c r="B13">
        <v>9</v>
      </c>
      <c r="C13" s="1">
        <v>10</v>
      </c>
      <c r="D13" s="1">
        <f t="shared" si="6"/>
        <v>156.41973770225343</v>
      </c>
      <c r="E13" s="5">
        <f t="shared" si="7"/>
        <v>-1.9994672584289219E-11</v>
      </c>
      <c r="F13" s="1">
        <v>1.23</v>
      </c>
      <c r="H13" s="3">
        <v>0</v>
      </c>
      <c r="I13" s="1">
        <f t="shared" si="0"/>
        <v>0</v>
      </c>
      <c r="J13" s="1">
        <f t="shared" si="1"/>
        <v>0</v>
      </c>
      <c r="K13" s="1">
        <f t="shared" si="2"/>
        <v>0</v>
      </c>
      <c r="L13" s="1">
        <f t="shared" si="3"/>
        <v>0</v>
      </c>
      <c r="M13" s="1">
        <f t="shared" si="4"/>
        <v>0</v>
      </c>
      <c r="N13" s="1">
        <f t="shared" si="5"/>
        <v>0</v>
      </c>
    </row>
    <row r="14" spans="2:14" x14ac:dyDescent="0.3">
      <c r="B14">
        <v>10</v>
      </c>
      <c r="C14" s="1">
        <v>10</v>
      </c>
      <c r="D14" s="1">
        <f t="shared" si="6"/>
        <v>166.41973770225343</v>
      </c>
      <c r="E14" s="5">
        <f t="shared" si="7"/>
        <v>-1.9994672584289219E-11</v>
      </c>
      <c r="F14" s="1">
        <v>1.1299999999999999</v>
      </c>
      <c r="G14" s="2">
        <v>145.80136311999999</v>
      </c>
      <c r="I14" s="1">
        <f t="shared" si="0"/>
        <v>164.75554032559998</v>
      </c>
      <c r="J14" s="1">
        <f t="shared" si="1"/>
        <v>0</v>
      </c>
      <c r="K14" s="1">
        <f t="shared" si="2"/>
        <v>1.6475554032559998</v>
      </c>
      <c r="L14" s="1">
        <f t="shared" si="3"/>
        <v>0</v>
      </c>
      <c r="M14" s="1">
        <f t="shared" si="4"/>
        <v>166.40309572885599</v>
      </c>
      <c r="N14" s="1">
        <f t="shared" si="5"/>
        <v>0</v>
      </c>
    </row>
    <row r="15" spans="2:14" x14ac:dyDescent="0.3">
      <c r="B15">
        <v>11</v>
      </c>
      <c r="C15" s="1">
        <v>10</v>
      </c>
      <c r="D15" s="1">
        <f t="shared" si="6"/>
        <v>10.016641973397441</v>
      </c>
      <c r="E15" s="5">
        <f t="shared" si="7"/>
        <v>145.80136311998001</v>
      </c>
      <c r="F15" s="1">
        <v>1.17</v>
      </c>
      <c r="H15" s="3">
        <v>145.80136311999999</v>
      </c>
      <c r="I15" s="1">
        <f t="shared" si="0"/>
        <v>0</v>
      </c>
      <c r="J15" s="1">
        <f t="shared" si="1"/>
        <v>170.58759485039997</v>
      </c>
      <c r="K15" s="1">
        <f t="shared" si="2"/>
        <v>0</v>
      </c>
      <c r="L15" s="1">
        <f t="shared" si="3"/>
        <v>1.7058759485039996</v>
      </c>
      <c r="M15" s="1">
        <f t="shared" si="4"/>
        <v>0</v>
      </c>
      <c r="N15" s="1">
        <f t="shared" si="5"/>
        <v>168.88171890189597</v>
      </c>
    </row>
    <row r="16" spans="2:14" x14ac:dyDescent="0.3">
      <c r="B16">
        <v>12</v>
      </c>
      <c r="C16" s="1">
        <v>10</v>
      </c>
      <c r="D16" s="1">
        <f t="shared" si="6"/>
        <v>188.89836087529341</v>
      </c>
      <c r="E16" s="5">
        <f t="shared" si="7"/>
        <v>-1.9980461729574017E-11</v>
      </c>
      <c r="F16" s="1">
        <v>1.1499999999999999</v>
      </c>
      <c r="G16" s="2">
        <v>162.61684979699999</v>
      </c>
      <c r="I16" s="1">
        <f t="shared" si="0"/>
        <v>187.00937726654996</v>
      </c>
      <c r="J16" s="1">
        <f t="shared" si="1"/>
        <v>0</v>
      </c>
      <c r="K16" s="1">
        <f t="shared" si="2"/>
        <v>1.8700937726654996</v>
      </c>
      <c r="L16" s="1">
        <f t="shared" si="3"/>
        <v>0</v>
      </c>
      <c r="M16" s="1">
        <f t="shared" si="4"/>
        <v>188.87947103921547</v>
      </c>
      <c r="N16" s="1">
        <f t="shared" si="5"/>
        <v>0</v>
      </c>
    </row>
    <row r="17" spans="2:14" x14ac:dyDescent="0.3">
      <c r="B17">
        <v>13</v>
      </c>
      <c r="C17" s="1">
        <v>10</v>
      </c>
      <c r="D17" s="1">
        <f t="shared" si="6"/>
        <v>10.018889836077932</v>
      </c>
      <c r="E17" s="5">
        <f t="shared" si="7"/>
        <v>162.61684979698001</v>
      </c>
      <c r="F17" s="1">
        <v>1.19</v>
      </c>
      <c r="H17" s="3">
        <v>162.61684979699999</v>
      </c>
      <c r="I17" s="1">
        <f t="shared" si="0"/>
        <v>0</v>
      </c>
      <c r="J17" s="1">
        <f t="shared" si="1"/>
        <v>193.51405125842999</v>
      </c>
      <c r="K17" s="1">
        <f t="shared" si="2"/>
        <v>0</v>
      </c>
      <c r="L17" s="1">
        <f t="shared" si="3"/>
        <v>1.9351405125843</v>
      </c>
      <c r="M17" s="1">
        <f t="shared" si="4"/>
        <v>0</v>
      </c>
      <c r="N17" s="1">
        <f t="shared" si="5"/>
        <v>191.57891074584569</v>
      </c>
    </row>
    <row r="18" spans="2:14" x14ac:dyDescent="0.3">
      <c r="B18">
        <v>14</v>
      </c>
      <c r="C18" s="1">
        <v>10</v>
      </c>
      <c r="D18" s="1">
        <f t="shared" si="6"/>
        <v>211.59780058192362</v>
      </c>
      <c r="E18" s="5">
        <f t="shared" si="7"/>
        <v>-1.9980461729574017E-11</v>
      </c>
      <c r="F18" s="1">
        <v>1.18</v>
      </c>
      <c r="G18" s="2">
        <v>177.52696828500001</v>
      </c>
      <c r="I18" s="1">
        <f t="shared" si="0"/>
        <v>209.4818225763</v>
      </c>
      <c r="J18" s="1">
        <f t="shared" si="1"/>
        <v>0</v>
      </c>
      <c r="K18" s="1">
        <f t="shared" si="2"/>
        <v>2.0948182257629999</v>
      </c>
      <c r="L18" s="1">
        <f t="shared" si="3"/>
        <v>0</v>
      </c>
      <c r="M18" s="1">
        <f t="shared" si="4"/>
        <v>211.576640802063</v>
      </c>
      <c r="N18" s="1">
        <f t="shared" si="5"/>
        <v>0</v>
      </c>
    </row>
    <row r="19" spans="2:14" x14ac:dyDescent="0.3">
      <c r="B19">
        <v>15</v>
      </c>
      <c r="C19" s="1">
        <v>10</v>
      </c>
      <c r="D19" s="1">
        <f t="shared" si="6"/>
        <v>10.021159779860625</v>
      </c>
      <c r="E19" s="5">
        <f t="shared" si="7"/>
        <v>177.52696828498003</v>
      </c>
      <c r="F19" s="1">
        <v>1.32</v>
      </c>
      <c r="G19" s="2">
        <v>7.5158698350400002</v>
      </c>
      <c r="I19" s="1">
        <f t="shared" si="0"/>
        <v>9.9209481822528005</v>
      </c>
      <c r="J19" s="1">
        <f t="shared" si="1"/>
        <v>0</v>
      </c>
      <c r="K19" s="1">
        <f t="shared" si="2"/>
        <v>9.9209481822528006E-2</v>
      </c>
      <c r="L19" s="1">
        <f t="shared" si="3"/>
        <v>0</v>
      </c>
      <c r="M19" s="1">
        <f t="shared" si="4"/>
        <v>10.020157664075329</v>
      </c>
      <c r="N19" s="1">
        <f t="shared" si="5"/>
        <v>0</v>
      </c>
    </row>
    <row r="20" spans="2:14" x14ac:dyDescent="0.3">
      <c r="B20" s="4" t="s">
        <v>13</v>
      </c>
      <c r="C20" s="1">
        <v>10</v>
      </c>
      <c r="D20" s="1">
        <f t="shared" si="6"/>
        <v>10.001002115785296</v>
      </c>
      <c r="E20" s="5">
        <f t="shared" si="7"/>
        <v>185.04283812002004</v>
      </c>
      <c r="F20" s="1">
        <f>F19</f>
        <v>1.32</v>
      </c>
      <c r="H20" s="3">
        <f>E20</f>
        <v>185.04283812002004</v>
      </c>
      <c r="I20" s="1">
        <f t="shared" si="0"/>
        <v>0</v>
      </c>
      <c r="J20" s="1">
        <f t="shared" si="1"/>
        <v>244.25654631842647</v>
      </c>
      <c r="K20" s="1">
        <f t="shared" si="2"/>
        <v>0</v>
      </c>
      <c r="L20" s="1">
        <f t="shared" si="3"/>
        <v>2.4425654631842648</v>
      </c>
      <c r="M20" s="1">
        <f t="shared" si="4"/>
        <v>0</v>
      </c>
      <c r="N20" s="1">
        <f t="shared" si="5"/>
        <v>241.81398085524222</v>
      </c>
    </row>
    <row r="21" spans="2:14" x14ac:dyDescent="0.3">
      <c r="B21" t="s">
        <v>14</v>
      </c>
      <c r="C21" s="1">
        <v>0</v>
      </c>
      <c r="D21" s="1">
        <f t="shared" si="6"/>
        <v>251.81498297102752</v>
      </c>
      <c r="E21" s="5">
        <f t="shared" si="7"/>
        <v>0</v>
      </c>
    </row>
    <row r="23" spans="2:14" x14ac:dyDescent="0.3">
      <c r="B23" t="s">
        <v>16</v>
      </c>
      <c r="C23" s="1">
        <f>C2+SUM(C5:C21)</f>
        <v>250</v>
      </c>
    </row>
    <row r="24" spans="2:14" x14ac:dyDescent="0.3">
      <c r="B24" t="s">
        <v>2</v>
      </c>
      <c r="C24" s="1">
        <f>D21</f>
        <v>251.81498297102752</v>
      </c>
    </row>
    <row r="25" spans="2:14" x14ac:dyDescent="0.3">
      <c r="B25" t="s">
        <v>17</v>
      </c>
      <c r="C25" s="1">
        <f>C24-C23</f>
        <v>1.8149829710275185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 up - Sell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Figueroa</dc:creator>
  <cp:lastModifiedBy>Gerardo Figueroa</cp:lastModifiedBy>
  <dcterms:created xsi:type="dcterms:W3CDTF">2018-01-22T01:51:07Z</dcterms:created>
  <dcterms:modified xsi:type="dcterms:W3CDTF">2018-01-22T13:37:28Z</dcterms:modified>
</cp:coreProperties>
</file>